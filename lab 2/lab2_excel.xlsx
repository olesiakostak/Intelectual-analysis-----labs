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udy\5_sem\Інтелектуальний аналіз та візуалізація даних\labs\lab2\"/>
    </mc:Choice>
  </mc:AlternateContent>
  <xr:revisionPtr revIDLastSave="0" documentId="13_ncr:1_{EE949679-D362-45DA-A7C4-2A8F3D029E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Звіт про стійкість 1" sheetId="7" r:id="rId1"/>
    <sheet name="Аркуш1" sheetId="1" r:id="rId2"/>
  </sheets>
  <definedNames>
    <definedName name="solver_adj" localSheetId="1" hidden="1">Аркуш1!$A$2:$D$2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Аркуш1!$E$7:$E$11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Аркуш1!$E$4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Аркуш1!$F$7:$F$11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7" i="1"/>
  <c r="E11" i="1"/>
  <c r="E10" i="1"/>
  <c r="E9" i="1"/>
  <c r="E8" i="1"/>
</calcChain>
</file>

<file path=xl/sharedStrings.xml><?xml version="1.0" encoding="utf-8"?>
<sst xmlns="http://schemas.openxmlformats.org/spreadsheetml/2006/main" count="49" uniqueCount="35">
  <si>
    <t>x1</t>
  </si>
  <si>
    <t>x2</t>
  </si>
  <si>
    <t>x3</t>
  </si>
  <si>
    <t>x4</t>
  </si>
  <si>
    <t>b</t>
  </si>
  <si>
    <t>Microsoft Excel 16.0 Звіт про стійкість</t>
  </si>
  <si>
    <t>Аркуш: [lab2.xlsx]Аркуш1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</si>
  <si>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</si>
  <si>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</si>
  <si>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</si>
  <si>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</si>
  <si>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</si>
  <si>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</si>
  <si>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</si>
  <si>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</si>
  <si>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</si>
  <si>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</si>
  <si>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</si>
  <si>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</si>
  <si>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</si>
  <si>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</si>
  <si>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</si>
  <si>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</si>
  <si>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$A$2</t>
  </si>
  <si>
    <t>$B$2</t>
  </si>
  <si>
    <t>$C$2</t>
  </si>
  <si>
    <t>$D$2</t>
  </si>
  <si>
    <t>$E$7</t>
  </si>
  <si>
    <t>$E$8</t>
  </si>
  <si>
    <t>$E$9</t>
  </si>
  <si>
    <t>$E$10</t>
  </si>
  <si>
    <t>$E$11</t>
  </si>
  <si>
    <t>$A$2:$D$2</t>
  </si>
  <si>
    <t>$E$7:$E$11 &lt;= $F$7:$F$11</t>
  </si>
  <si>
    <t>Звіт створено: 26.09.2026 13:57:22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</si>
</sst>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1" applyBorder="1" applyAlignment="1">
      <alignment horizontal="center"/>
    </xf>
    <xf numFmtId="0" fontId="2" fillId="0" borderId="0" xfId="0" applyFont="1"/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1" fontId="0" fillId="0" borderId="5" xfId="0" applyNumberFormat="1" applyFill="1" applyBorder="1" applyAlignment="1"/>
  </cellXfs>
  <cellStyles count="2">
    <cellStyle name="40% – колірна тема 5" xfId="1" builtinId="47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0FED-703D-43D8-88D2-7554FA8CB703}">
  <dimension ref="A1:H25"/>
  <sheetViews>
    <sheetView showGridLines="0" tabSelected="1" topLeftCell="A4" workbookViewId="0">
      <selection activeCell="F21" sqref="F21"/>
    </sheetView>
  </sheetViews>
  <sheetFormatPr defaultRowHeight="14.5" outlineLevelRow="1" x14ac:dyDescent="0.35"/>
  <cols>
    <col min="1" max="1" width="2.1796875" customWidth="1"/>
    <col min="2" max="2" width="8.453125" bestFit="1" customWidth="1"/>
    <col min="3" max="3" width="5.90625" bestFit="1" customWidth="1"/>
    <col min="4" max="4" width="11.81640625" bestFit="1" customWidth="1"/>
    <col min="5" max="5" width="12.453125" bestFit="1" customWidth="1"/>
    <col min="6" max="6" width="15.1796875" bestFit="1" customWidth="1"/>
    <col min="7" max="8" width="11.81640625" bestFit="1" customWidth="1"/>
  </cols>
  <sheetData>
    <row r="1" spans="1:8" x14ac:dyDescent="0.35">
      <c r="A1" s="4" t="s">
        <v>5</v>
      </c>
    </row>
    <row r="2" spans="1:8" x14ac:dyDescent="0.35">
      <c r="A2" s="4" t="s">
        <v>6</v>
      </c>
    </row>
    <row r="3" spans="1:8" x14ac:dyDescent="0.35">
      <c r="A3" s="4" t="s">
        <v>34</v>
      </c>
    </row>
    <row r="6" spans="1:8" ht="15" thickBot="1" x14ac:dyDescent="0.4">
      <c r="A6" t="s">
        <v>7</v>
      </c>
    </row>
    <row r="7" spans="1:8" x14ac:dyDescent="0.35">
      <c r="B7" s="8"/>
      <c r="C7" s="8"/>
      <c r="D7" s="8" t="s">
        <v>10</v>
      </c>
      <c r="E7" s="8" t="s">
        <v>12</v>
      </c>
      <c r="F7" s="8" t="s">
        <v>14</v>
      </c>
      <c r="G7" s="8" t="s">
        <v>16</v>
      </c>
      <c r="H7" s="8" t="s">
        <v>16</v>
      </c>
    </row>
    <row r="8" spans="1:8" ht="15" thickBot="1" x14ac:dyDescent="0.4">
      <c r="B8" s="9" t="s">
        <v>8</v>
      </c>
      <c r="C8" s="9" t="s">
        <v>9</v>
      </c>
      <c r="D8" s="9" t="s">
        <v>11</v>
      </c>
      <c r="E8" s="9" t="s">
        <v>13</v>
      </c>
      <c r="F8" s="9" t="s">
        <v>15</v>
      </c>
      <c r="G8" s="9" t="s">
        <v>17</v>
      </c>
      <c r="H8" s="9" t="s">
        <v>18</v>
      </c>
    </row>
    <row r="9" spans="1:8" x14ac:dyDescent="0.35">
      <c r="B9" s="11" t="s">
        <v>32</v>
      </c>
      <c r="C9" s="10"/>
      <c r="D9" s="10"/>
      <c r="E9" s="10"/>
      <c r="F9" s="10"/>
      <c r="G9" s="10"/>
      <c r="H9" s="10"/>
    </row>
    <row r="10" spans="1:8" outlineLevel="1" x14ac:dyDescent="0.35">
      <c r="B10" s="6" t="s">
        <v>23</v>
      </c>
      <c r="C10" s="6" t="s">
        <v>0</v>
      </c>
      <c r="D10" s="6">
        <v>0</v>
      </c>
      <c r="E10" s="6">
        <v>-75.333333333333329</v>
      </c>
      <c r="F10" s="6">
        <v>40</v>
      </c>
      <c r="G10" s="6">
        <v>75.333333333333329</v>
      </c>
      <c r="H10" s="13">
        <v>1E+30</v>
      </c>
    </row>
    <row r="11" spans="1:8" outlineLevel="1" x14ac:dyDescent="0.35">
      <c r="B11" s="6" t="s">
        <v>24</v>
      </c>
      <c r="C11" s="6" t="s">
        <v>1</v>
      </c>
      <c r="D11" s="6">
        <v>155.66666666666669</v>
      </c>
      <c r="E11" s="6">
        <v>0</v>
      </c>
      <c r="F11" s="6">
        <v>62</v>
      </c>
      <c r="G11" s="6">
        <v>52</v>
      </c>
      <c r="H11" s="6">
        <v>29.428571428571399</v>
      </c>
    </row>
    <row r="12" spans="1:8" outlineLevel="1" x14ac:dyDescent="0.35">
      <c r="B12" s="6" t="s">
        <v>25</v>
      </c>
      <c r="C12" s="6" t="s">
        <v>2</v>
      </c>
      <c r="D12" s="6">
        <v>0</v>
      </c>
      <c r="E12" s="6">
        <v>-34.333333333333336</v>
      </c>
      <c r="F12" s="6">
        <v>19</v>
      </c>
      <c r="G12" s="6">
        <v>34.333333333333336</v>
      </c>
      <c r="H12" s="13">
        <v>1E+30</v>
      </c>
    </row>
    <row r="13" spans="1:8" ht="15" outlineLevel="1" thickBot="1" x14ac:dyDescent="0.4">
      <c r="B13" s="7" t="s">
        <v>26</v>
      </c>
      <c r="C13" s="7" t="s">
        <v>3</v>
      </c>
      <c r="D13" s="7">
        <v>79.666666666666657</v>
      </c>
      <c r="E13" s="7">
        <v>0</v>
      </c>
      <c r="F13" s="7">
        <v>57</v>
      </c>
      <c r="G13" s="7">
        <v>67.000000000000014</v>
      </c>
      <c r="H13" s="7">
        <v>26</v>
      </c>
    </row>
    <row r="14" spans="1:8" x14ac:dyDescent="0.35">
      <c r="B14" s="5"/>
      <c r="C14" s="5"/>
      <c r="D14" s="5"/>
      <c r="E14" s="5"/>
      <c r="F14" s="5"/>
      <c r="G14" s="5"/>
      <c r="H14" s="5"/>
    </row>
    <row r="16" spans="1:8" ht="15" thickBot="1" x14ac:dyDescent="0.4">
      <c r="A16" t="s">
        <v>19</v>
      </c>
    </row>
    <row r="17" spans="2:8" x14ac:dyDescent="0.35">
      <c r="B17" s="8"/>
      <c r="C17" s="8"/>
      <c r="D17" s="8" t="s">
        <v>10</v>
      </c>
      <c r="E17" s="8" t="s">
        <v>20</v>
      </c>
      <c r="F17" s="8" t="s">
        <v>19</v>
      </c>
      <c r="G17" s="8" t="s">
        <v>16</v>
      </c>
      <c r="H17" s="8" t="s">
        <v>16</v>
      </c>
    </row>
    <row r="18" spans="2:8" ht="15" thickBot="1" x14ac:dyDescent="0.4">
      <c r="B18" s="9" t="s">
        <v>8</v>
      </c>
      <c r="C18" s="9" t="s">
        <v>9</v>
      </c>
      <c r="D18" s="9" t="s">
        <v>11</v>
      </c>
      <c r="E18" s="9" t="s">
        <v>21</v>
      </c>
      <c r="F18" s="9" t="s">
        <v>22</v>
      </c>
      <c r="G18" s="9" t="s">
        <v>17</v>
      </c>
      <c r="H18" s="9" t="s">
        <v>18</v>
      </c>
    </row>
    <row r="19" spans="2:8" x14ac:dyDescent="0.35">
      <c r="B19" s="11" t="s">
        <v>33</v>
      </c>
      <c r="C19" s="10"/>
      <c r="D19" s="10"/>
      <c r="E19" s="10"/>
      <c r="F19" s="10"/>
      <c r="G19" s="10"/>
      <c r="H19" s="10"/>
    </row>
    <row r="20" spans="2:8" outlineLevel="1" x14ac:dyDescent="0.35">
      <c r="B20" s="6" t="s">
        <v>27</v>
      </c>
      <c r="C20" s="6"/>
      <c r="D20" s="6">
        <v>630</v>
      </c>
      <c r="E20" s="6">
        <v>8.6666666666666696</v>
      </c>
      <c r="F20" s="6">
        <v>630</v>
      </c>
      <c r="G20" s="6">
        <v>670</v>
      </c>
      <c r="H20" s="6">
        <v>239</v>
      </c>
    </row>
    <row r="21" spans="2:8" outlineLevel="1" x14ac:dyDescent="0.35">
      <c r="B21" s="6" t="s">
        <v>28</v>
      </c>
      <c r="C21" s="6"/>
      <c r="D21" s="6">
        <v>391</v>
      </c>
      <c r="E21" s="6">
        <v>22.3333333333333</v>
      </c>
      <c r="F21" s="6">
        <v>391</v>
      </c>
      <c r="G21" s="6">
        <v>134</v>
      </c>
      <c r="H21" s="6">
        <v>233.5</v>
      </c>
    </row>
    <row r="22" spans="2:8" outlineLevel="1" x14ac:dyDescent="0.35">
      <c r="B22" s="6" t="s">
        <v>29</v>
      </c>
      <c r="C22" s="6"/>
      <c r="D22" s="6">
        <v>937.66666666666697</v>
      </c>
      <c r="E22" s="6">
        <v>0</v>
      </c>
      <c r="F22" s="6">
        <v>1349</v>
      </c>
      <c r="G22" s="13">
        <v>1E+30</v>
      </c>
      <c r="H22" s="6">
        <v>411.33333333333297</v>
      </c>
    </row>
    <row r="23" spans="2:8" outlineLevel="1" x14ac:dyDescent="0.35">
      <c r="B23" s="6" t="s">
        <v>30</v>
      </c>
      <c r="C23" s="6"/>
      <c r="D23" s="6">
        <v>470.66666666666703</v>
      </c>
      <c r="E23" s="6">
        <v>0</v>
      </c>
      <c r="F23" s="6">
        <v>811</v>
      </c>
      <c r="G23" s="6">
        <v>1E+30</v>
      </c>
      <c r="H23" s="6">
        <v>340.33333333333297</v>
      </c>
    </row>
    <row r="24" spans="2:8" ht="15" outlineLevel="1" thickBot="1" x14ac:dyDescent="0.4">
      <c r="B24" s="7" t="s">
        <v>31</v>
      </c>
      <c r="C24" s="7"/>
      <c r="D24" s="7">
        <v>861.66666666666697</v>
      </c>
      <c r="E24" s="7">
        <v>0</v>
      </c>
      <c r="F24" s="7">
        <v>1085</v>
      </c>
      <c r="G24" s="7">
        <v>1E+30</v>
      </c>
      <c r="H24" s="7">
        <v>223.333333333333</v>
      </c>
    </row>
    <row r="25" spans="2:8" x14ac:dyDescent="0.35">
      <c r="B25" s="5"/>
      <c r="C25" s="5"/>
      <c r="D25" s="5"/>
      <c r="E25" s="5"/>
      <c r="F25" s="5"/>
      <c r="G25" s="5"/>
      <c r="H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E7" sqref="E7"/>
    </sheetView>
  </sheetViews>
  <sheetFormatPr defaultRowHeight="14.5" outlineLevelRow="1" x14ac:dyDescent="0.35"/>
  <cols>
    <col min="2" max="2" width="8.1796875" customWidth="1"/>
    <col min="3" max="3" width="8.36328125" customWidth="1"/>
    <col min="4" max="4" width="11.81640625" bestFit="1" customWidth="1"/>
    <col min="6" max="6" width="6.816406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35">
      <c r="A2" s="1">
        <v>0</v>
      </c>
      <c r="B2" s="1">
        <v>155.666666666667</v>
      </c>
      <c r="C2" s="1">
        <v>0</v>
      </c>
      <c r="D2" s="1">
        <v>79.666666666666657</v>
      </c>
    </row>
    <row r="3" spans="1:6" x14ac:dyDescent="0.35">
      <c r="D3" s="2"/>
    </row>
    <row r="4" spans="1:6" x14ac:dyDescent="0.35">
      <c r="A4" s="1">
        <v>40</v>
      </c>
      <c r="B4" s="1">
        <v>62</v>
      </c>
      <c r="C4" s="1">
        <v>19</v>
      </c>
      <c r="D4" s="1">
        <v>57</v>
      </c>
      <c r="E4" s="1">
        <f>SUMPRODUCT(A2:D2,  A4:D4)</f>
        <v>14192.333333333354</v>
      </c>
    </row>
    <row r="6" spans="1:6" x14ac:dyDescent="0.35">
      <c r="F6" s="3" t="s">
        <v>4</v>
      </c>
    </row>
    <row r="7" spans="1:6" x14ac:dyDescent="0.35">
      <c r="A7" s="1">
        <v>3</v>
      </c>
      <c r="B7" s="1">
        <v>2</v>
      </c>
      <c r="C7" s="1">
        <v>1</v>
      </c>
      <c r="D7" s="1">
        <v>4</v>
      </c>
      <c r="E7" s="1">
        <f>SUMPRODUCT($A$2:$D$2, A7:D7)</f>
        <v>630.00000000000068</v>
      </c>
      <c r="F7" s="1">
        <v>630</v>
      </c>
    </row>
    <row r="8" spans="1:6" x14ac:dyDescent="0.35">
      <c r="A8" s="1">
        <v>4</v>
      </c>
      <c r="B8" s="1">
        <v>2</v>
      </c>
      <c r="C8" s="1">
        <v>2</v>
      </c>
      <c r="D8" s="1">
        <v>1</v>
      </c>
      <c r="E8" s="1">
        <f t="shared" ref="E8:E11" si="0">SUMPRODUCT($A$2:$D$2, A8:D8)</f>
        <v>391.00000000000068</v>
      </c>
      <c r="F8" s="1">
        <v>391</v>
      </c>
    </row>
    <row r="9" spans="1:6" x14ac:dyDescent="0.35">
      <c r="A9" s="1">
        <v>3</v>
      </c>
      <c r="B9" s="1">
        <v>5</v>
      </c>
      <c r="C9" s="1">
        <v>1</v>
      </c>
      <c r="D9" s="1">
        <v>2</v>
      </c>
      <c r="E9" s="1">
        <f t="shared" si="0"/>
        <v>937.66666666666833</v>
      </c>
      <c r="F9" s="1">
        <v>1349</v>
      </c>
    </row>
    <row r="10" spans="1:6" x14ac:dyDescent="0.35">
      <c r="A10" s="1">
        <v>3</v>
      </c>
      <c r="B10" s="1">
        <v>2</v>
      </c>
      <c r="C10" s="1">
        <v>0</v>
      </c>
      <c r="D10" s="1">
        <v>2</v>
      </c>
      <c r="E10" s="1">
        <f t="shared" si="0"/>
        <v>470.66666666666731</v>
      </c>
      <c r="F10" s="1">
        <v>811</v>
      </c>
    </row>
    <row r="11" spans="1:6" x14ac:dyDescent="0.35">
      <c r="A11" s="1">
        <v>6</v>
      </c>
      <c r="B11" s="1">
        <v>4</v>
      </c>
      <c r="C11" s="1">
        <v>6</v>
      </c>
      <c r="D11" s="1">
        <v>3</v>
      </c>
      <c r="E11" s="1">
        <f t="shared" si="0"/>
        <v>861.66666666666799</v>
      </c>
      <c r="F11" s="1">
        <v>1085</v>
      </c>
    </row>
    <row r="13" spans="1:6" x14ac:dyDescent="0.35">
      <c r="B13" s="12"/>
    </row>
    <row r="14" spans="1:6" hidden="1" outlineLevel="1" x14ac:dyDescent="0.35"/>
    <row r="15" spans="1:6" hidden="1" outlineLevel="1" x14ac:dyDescent="0.35"/>
    <row r="16" spans="1:6" hidden="1" outlineLevel="1" x14ac:dyDescent="0.35"/>
    <row r="17" hidden="1" outlineLevel="1" x14ac:dyDescent="0.35"/>
    <row r="18" collapsed="1" x14ac:dyDescent="0.35"/>
  </sheetData>
  <scenarios current="0">
    <scenario name="Звіт 1" count="4" user="Олеся Костак" comment="Автор: Олеся Костак , 9/26/2026">
      <inputCells r="A2" val="0"/>
      <inputCells r="B2" val="155.666666666667"/>
      <inputCells r="C2" val="0"/>
      <inputCells r="D2" val="79.6666666666667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Костак</dc:creator>
  <cp:lastModifiedBy>Олеся Костак</cp:lastModifiedBy>
  <dcterms:created xsi:type="dcterms:W3CDTF">2015-06-05T18:19:34Z</dcterms:created>
  <dcterms:modified xsi:type="dcterms:W3CDTF">2026-09-26T19:27:42Z</dcterms:modified>
</cp:coreProperties>
</file>